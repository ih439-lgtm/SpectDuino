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e057a4fd6d0fde/Desktop/Cambridge/MRes/Taught Component/Coursework/ST1 Priniciples of Sensing/Git Hub Files/"/>
    </mc:Choice>
  </mc:AlternateContent>
  <xr:revisionPtr revIDLastSave="0" documentId="8_{8E2C1E12-40F1-47F4-A6B2-CBE452ABA0B4}" xr6:coauthVersionLast="47" xr6:coauthVersionMax="47" xr10:uidLastSave="{00000000-0000-0000-0000-000000000000}"/>
  <bookViews>
    <workbookView xWindow="450" yWindow="740" windowWidth="22110" windowHeight="14300" xr2:uid="{F6724AD3-A3E8-48A3-9846-6E99A40A73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5" i="1"/>
  <c r="C26" i="1"/>
  <c r="C27" i="1"/>
  <c r="C28" i="1"/>
  <c r="C29" i="1"/>
  <c r="C30" i="1"/>
  <c r="C31" i="1"/>
  <c r="C32" i="1"/>
  <c r="C23" i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H8" i="1"/>
  <c r="J8" i="1" s="1"/>
  <c r="L8" i="1" s="1"/>
  <c r="M8" i="1" s="1"/>
  <c r="N8" i="1" s="1"/>
  <c r="D24" i="1" s="1"/>
  <c r="E24" i="1" s="1"/>
  <c r="F24" i="1" s="1"/>
  <c r="H9" i="1"/>
  <c r="J9" i="1" s="1"/>
  <c r="H10" i="1"/>
  <c r="J10" i="1" s="1"/>
  <c r="L10" i="1" s="1"/>
  <c r="M10" i="1" s="1"/>
  <c r="N10" i="1" s="1"/>
  <c r="D26" i="1" s="1"/>
  <c r="E26" i="1" s="1"/>
  <c r="F26" i="1" s="1"/>
  <c r="G26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L16" i="1" s="1"/>
  <c r="M16" i="1" s="1"/>
  <c r="N16" i="1" s="1"/>
  <c r="D32" i="1" s="1"/>
  <c r="E32" i="1" s="1"/>
  <c r="F32" i="1" s="1"/>
  <c r="K7" i="1"/>
  <c r="I7" i="1"/>
  <c r="H7" i="1"/>
  <c r="J7" i="1" s="1"/>
  <c r="L7" i="1" l="1"/>
  <c r="M7" i="1" s="1"/>
  <c r="N7" i="1" s="1"/>
  <c r="D23" i="1" s="1"/>
  <c r="E23" i="1" s="1"/>
  <c r="F23" i="1" s="1"/>
  <c r="H23" i="1" s="1"/>
  <c r="H26" i="1"/>
  <c r="H32" i="1"/>
  <c r="H24" i="1"/>
  <c r="L13" i="1"/>
  <c r="M13" i="1" s="1"/>
  <c r="N13" i="1" s="1"/>
  <c r="D29" i="1" s="1"/>
  <c r="E29" i="1" s="1"/>
  <c r="F29" i="1" s="1"/>
  <c r="G29" i="1" s="1"/>
  <c r="G32" i="1"/>
  <c r="G24" i="1"/>
  <c r="L9" i="1"/>
  <c r="M9" i="1" s="1"/>
  <c r="N9" i="1" s="1"/>
  <c r="D25" i="1" s="1"/>
  <c r="E25" i="1" s="1"/>
  <c r="F25" i="1" s="1"/>
  <c r="L12" i="1"/>
  <c r="M12" i="1" s="1"/>
  <c r="N12" i="1" s="1"/>
  <c r="D28" i="1" s="1"/>
  <c r="E28" i="1" s="1"/>
  <c r="F28" i="1" s="1"/>
  <c r="H28" i="1" s="1"/>
  <c r="L14" i="1"/>
  <c r="M14" i="1" s="1"/>
  <c r="N14" i="1" s="1"/>
  <c r="D30" i="1" s="1"/>
  <c r="E30" i="1" s="1"/>
  <c r="F30" i="1" s="1"/>
  <c r="G30" i="1" s="1"/>
  <c r="L15" i="1"/>
  <c r="M15" i="1" s="1"/>
  <c r="N15" i="1" s="1"/>
  <c r="D31" i="1" s="1"/>
  <c r="E31" i="1" s="1"/>
  <c r="F31" i="1" s="1"/>
  <c r="L11" i="1"/>
  <c r="M11" i="1" s="1"/>
  <c r="N11" i="1" s="1"/>
  <c r="D27" i="1" s="1"/>
  <c r="E27" i="1" s="1"/>
  <c r="F27" i="1" s="1"/>
  <c r="H27" i="1" s="1"/>
  <c r="G23" i="1" l="1"/>
  <c r="G28" i="1"/>
  <c r="H29" i="1"/>
  <c r="H30" i="1"/>
  <c r="G31" i="1"/>
  <c r="H31" i="1"/>
  <c r="H25" i="1"/>
  <c r="G25" i="1"/>
  <c r="G27" i="1"/>
</calcChain>
</file>

<file path=xl/sharedStrings.xml><?xml version="1.0" encoding="utf-8"?>
<sst xmlns="http://schemas.openxmlformats.org/spreadsheetml/2006/main" count="46" uniqueCount="33">
  <si>
    <t>Wavelength</t>
  </si>
  <si>
    <t xml:space="preserve"> Ref Avg Int</t>
  </si>
  <si>
    <t>Ref SD</t>
  </si>
  <si>
    <t xml:space="preserve">Samp Avg Int </t>
  </si>
  <si>
    <t>Samp SD</t>
  </si>
  <si>
    <t>Absorbance</t>
  </si>
  <si>
    <t>(σr​/Ir​)</t>
  </si>
  <si>
    <t>(σs​/Is)</t>
  </si>
  <si>
    <t>(σr​/Ir​)2</t>
  </si>
  <si>
    <t>(σs​/Is)2</t>
  </si>
  <si>
    <t>Sum of squares</t>
  </si>
  <si>
    <t>Square root</t>
  </si>
  <si>
    <t>/ by ln(10)</t>
  </si>
  <si>
    <t>415nm</t>
  </si>
  <si>
    <t>445nm</t>
  </si>
  <si>
    <t>480nm</t>
  </si>
  <si>
    <t>515nm</t>
  </si>
  <si>
    <t>555nm</t>
  </si>
  <si>
    <t>590nm</t>
  </si>
  <si>
    <t>630nm</t>
  </si>
  <si>
    <t>680nm</t>
  </si>
  <si>
    <t>Clear</t>
  </si>
  <si>
    <t>NIR</t>
  </si>
  <si>
    <t>SAMPLE:</t>
  </si>
  <si>
    <t xml:space="preserve">Reference readings taken: </t>
  </si>
  <si>
    <t xml:space="preserve">Sample readings taken: </t>
  </si>
  <si>
    <t>Absorbance Uncertainty</t>
  </si>
  <si>
    <t>Confidence Band</t>
  </si>
  <si>
    <t>σA</t>
  </si>
  <si>
    <t>SE(A)</t>
  </si>
  <si>
    <t>95% half-width (Δ)</t>
  </si>
  <si>
    <t>Upper confidence limit</t>
  </si>
  <si>
    <t>Lower Confidence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</si>
</sst>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0.7999816888943144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0" borderId="8" xfId="0" applyBorder="1"/>
    <xf numFmtId="0" fontId="0" fillId="0" borderId="9" xfId="0" applyBorder="1"/>
    <xf numFmtId="0" fontId="0" fillId="3" borderId="6" xfId="0" applyFill="1" applyBorder="1"/>
    <xf numFmtId="0" fontId="0" fillId="3" borderId="7" xfId="0" applyFill="1" applyBorder="1"/>
    <xf numFmtId="0" fontId="1" fillId="4" borderId="10" xfId="0" applyFont="1" applyFill="1" applyBorder="1"/>
    <xf numFmtId="0" fontId="1" fillId="2" borderId="11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3" borderId="11" xfId="0" applyFill="1" applyBorder="1"/>
    <xf numFmtId="0" fontId="0" fillId="4" borderId="11" xfId="0" applyFill="1" applyBorder="1"/>
    <xf numFmtId="0" fontId="1" fillId="2" borderId="2" xfId="0" applyFont="1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3" borderId="2" xfId="0" applyFont="1" applyFill="1" applyBorder="1"/>
    <xf numFmtId="0" fontId="0" fillId="4" borderId="2" xfId="0" applyFill="1" applyBorder="1"/>
    <xf numFmtId="0" fontId="1" fillId="0" borderId="0" xfId="0" applyFont="1" applyFill="1" applyBorder="1"/>
    <xf numFmtId="0" fontId="0" fillId="0" borderId="18" xfId="0" applyBorder="1"/>
    <xf numFmtId="0" fontId="2" fillId="5" borderId="19" xfId="0" applyFont="1" applyFill="1" applyBorder="1"/>
    <xf numFmtId="0" fontId="0" fillId="5" borderId="19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0D4B9-D7DC-4406-91BB-ABF5A2EA6900}">
  <dimension ref="B1:P32"/>
  <sheetViews>
    <sheetView tabSelected="1" workbookViewId="0">
      <selection activeCell="L23" sqref="L23"/>
    </sheetView>
  </sheetViews>
  <sheetFormatPr defaultRowHeight="14.5" x14ac:dyDescent="0.35"/>
  <cols>
    <col min="2" max="2" width="25.54296875" bestFit="1" customWidth="1"/>
    <col min="3" max="3" width="10.7265625" bestFit="1" customWidth="1"/>
    <col min="4" max="4" width="7.54296875" customWidth="1"/>
    <col min="5" max="5" width="11.36328125" customWidth="1"/>
    <col min="6" max="6" width="15.54296875" bestFit="1" customWidth="1"/>
    <col min="7" max="7" width="19.1796875" bestFit="1" customWidth="1"/>
    <col min="8" max="8" width="19.81640625" bestFit="1" customWidth="1"/>
    <col min="9" max="10" width="6.90625" bestFit="1" customWidth="1"/>
    <col min="11" max="11" width="7.08984375" bestFit="1" customWidth="1"/>
    <col min="12" max="12" width="13.1796875" bestFit="1" customWidth="1"/>
    <col min="13" max="13" width="10.08984375" bestFit="1" customWidth="1"/>
    <col min="14" max="14" width="20.453125" bestFit="1" customWidth="1"/>
  </cols>
  <sheetData>
    <row r="1" spans="2:16" x14ac:dyDescent="0.35">
      <c r="B1" s="2" t="s">
        <v>26</v>
      </c>
    </row>
    <row r="2" spans="2:16" ht="15" thickBot="1" x14ac:dyDescent="0.4">
      <c r="B2" t="s">
        <v>23</v>
      </c>
    </row>
    <row r="3" spans="2:16" ht="15" thickBot="1" x14ac:dyDescent="0.4">
      <c r="B3" s="30" t="s">
        <v>24</v>
      </c>
      <c r="C3" s="31"/>
    </row>
    <row r="4" spans="2:16" ht="15" thickBot="1" x14ac:dyDescent="0.4">
      <c r="B4" s="30" t="s">
        <v>25</v>
      </c>
      <c r="C4" s="32"/>
    </row>
    <row r="5" spans="2:16" ht="15" thickBot="1" x14ac:dyDescent="0.4">
      <c r="N5" s="16" t="s">
        <v>26</v>
      </c>
      <c r="P5" s="29"/>
    </row>
    <row r="6" spans="2:16" ht="15" thickBot="1" x14ac:dyDescent="0.4">
      <c r="B6" s="23" t="s">
        <v>0</v>
      </c>
      <c r="C6" s="24" t="s">
        <v>1</v>
      </c>
      <c r="D6" s="25" t="s">
        <v>2</v>
      </c>
      <c r="E6" s="25" t="s">
        <v>3</v>
      </c>
      <c r="F6" s="26" t="s">
        <v>4</v>
      </c>
      <c r="G6" s="27" t="s">
        <v>5</v>
      </c>
      <c r="H6" s="24" t="s">
        <v>6</v>
      </c>
      <c r="I6" s="25" t="s">
        <v>7</v>
      </c>
      <c r="J6" s="25" t="s">
        <v>8</v>
      </c>
      <c r="K6" s="25" t="s">
        <v>9</v>
      </c>
      <c r="L6" s="25" t="s">
        <v>10</v>
      </c>
      <c r="M6" s="26" t="s">
        <v>11</v>
      </c>
      <c r="N6" s="28" t="s">
        <v>12</v>
      </c>
      <c r="P6" s="29"/>
    </row>
    <row r="7" spans="2:16" x14ac:dyDescent="0.35">
      <c r="B7" s="17" t="s">
        <v>13</v>
      </c>
      <c r="C7" s="18"/>
      <c r="D7" s="19"/>
      <c r="E7" s="19"/>
      <c r="F7" s="20"/>
      <c r="G7" s="21"/>
      <c r="H7" s="18" t="e">
        <f>D7/C7</f>
        <v>#DIV/0!</v>
      </c>
      <c r="I7" s="19" t="e">
        <f>F7/E7</f>
        <v>#DIV/0!</v>
      </c>
      <c r="J7" s="19" t="e">
        <f>H7^2</f>
        <v>#DIV/0!</v>
      </c>
      <c r="K7" s="19" t="e">
        <f>I7^2</f>
        <v>#DIV/0!</v>
      </c>
      <c r="L7" s="19" t="e">
        <f>J7+K7</f>
        <v>#DIV/0!</v>
      </c>
      <c r="M7" s="20" t="e">
        <f>SQRT(L7)</f>
        <v>#DIV/0!</v>
      </c>
      <c r="N7" s="22" t="e">
        <f>M7/LN(10)</f>
        <v>#DIV/0!</v>
      </c>
      <c r="P7" s="29"/>
    </row>
    <row r="8" spans="2:16" x14ac:dyDescent="0.35">
      <c r="B8" s="10" t="s">
        <v>14</v>
      </c>
      <c r="C8" s="8"/>
      <c r="D8" s="1"/>
      <c r="E8" s="1"/>
      <c r="F8" s="12"/>
      <c r="G8" s="14"/>
      <c r="H8" s="18" t="e">
        <f t="shared" ref="H8:H16" si="0">D8/C8</f>
        <v>#DIV/0!</v>
      </c>
      <c r="I8" s="19" t="e">
        <f t="shared" ref="I8:I16" si="1">F8/E8</f>
        <v>#DIV/0!</v>
      </c>
      <c r="J8" s="19" t="e">
        <f t="shared" ref="J8:J16" si="2">H8^2</f>
        <v>#DIV/0!</v>
      </c>
      <c r="K8" s="19" t="e">
        <f t="shared" ref="K8:K16" si="3">I8^2</f>
        <v>#DIV/0!</v>
      </c>
      <c r="L8" s="19" t="e">
        <f t="shared" ref="L8:L16" si="4">J8+K8</f>
        <v>#DIV/0!</v>
      </c>
      <c r="M8" s="20" t="e">
        <f t="shared" ref="M8:M16" si="5">SQRT(L8)</f>
        <v>#DIV/0!</v>
      </c>
      <c r="N8" s="22" t="e">
        <f t="shared" ref="N8:N16" si="6">M8/LN(10)</f>
        <v>#DIV/0!</v>
      </c>
      <c r="P8" s="29"/>
    </row>
    <row r="9" spans="2:16" x14ac:dyDescent="0.35">
      <c r="B9" s="10" t="s">
        <v>15</v>
      </c>
      <c r="C9" s="8"/>
      <c r="D9" s="1"/>
      <c r="E9" s="1"/>
      <c r="F9" s="12"/>
      <c r="G9" s="14"/>
      <c r="H9" s="18" t="e">
        <f t="shared" si="0"/>
        <v>#DIV/0!</v>
      </c>
      <c r="I9" s="19" t="e">
        <f t="shared" si="1"/>
        <v>#DIV/0!</v>
      </c>
      <c r="J9" s="19" t="e">
        <f t="shared" si="2"/>
        <v>#DIV/0!</v>
      </c>
      <c r="K9" s="19" t="e">
        <f t="shared" si="3"/>
        <v>#DIV/0!</v>
      </c>
      <c r="L9" s="19" t="e">
        <f t="shared" si="4"/>
        <v>#DIV/0!</v>
      </c>
      <c r="M9" s="20" t="e">
        <f t="shared" si="5"/>
        <v>#DIV/0!</v>
      </c>
      <c r="N9" s="22" t="e">
        <f t="shared" si="6"/>
        <v>#DIV/0!</v>
      </c>
      <c r="P9" s="29"/>
    </row>
    <row r="10" spans="2:16" x14ac:dyDescent="0.35">
      <c r="B10" s="10" t="s">
        <v>16</v>
      </c>
      <c r="C10" s="8"/>
      <c r="D10" s="1"/>
      <c r="E10" s="1"/>
      <c r="F10" s="12"/>
      <c r="G10" s="14"/>
      <c r="H10" s="18" t="e">
        <f t="shared" si="0"/>
        <v>#DIV/0!</v>
      </c>
      <c r="I10" s="19" t="e">
        <f t="shared" si="1"/>
        <v>#DIV/0!</v>
      </c>
      <c r="J10" s="19" t="e">
        <f t="shared" si="2"/>
        <v>#DIV/0!</v>
      </c>
      <c r="K10" s="19" t="e">
        <f t="shared" si="3"/>
        <v>#DIV/0!</v>
      </c>
      <c r="L10" s="19" t="e">
        <f t="shared" si="4"/>
        <v>#DIV/0!</v>
      </c>
      <c r="M10" s="20" t="e">
        <f t="shared" si="5"/>
        <v>#DIV/0!</v>
      </c>
      <c r="N10" s="22" t="e">
        <f t="shared" si="6"/>
        <v>#DIV/0!</v>
      </c>
      <c r="P10" s="29"/>
    </row>
    <row r="11" spans="2:16" x14ac:dyDescent="0.35">
      <c r="B11" s="10" t="s">
        <v>17</v>
      </c>
      <c r="C11" s="8"/>
      <c r="D11" s="1"/>
      <c r="E11" s="1"/>
      <c r="F11" s="12"/>
      <c r="G11" s="14"/>
      <c r="H11" s="18" t="e">
        <f t="shared" si="0"/>
        <v>#DIV/0!</v>
      </c>
      <c r="I11" s="19" t="e">
        <f t="shared" si="1"/>
        <v>#DIV/0!</v>
      </c>
      <c r="J11" s="19" t="e">
        <f t="shared" si="2"/>
        <v>#DIV/0!</v>
      </c>
      <c r="K11" s="19" t="e">
        <f t="shared" si="3"/>
        <v>#DIV/0!</v>
      </c>
      <c r="L11" s="19" t="e">
        <f t="shared" si="4"/>
        <v>#DIV/0!</v>
      </c>
      <c r="M11" s="20" t="e">
        <f t="shared" si="5"/>
        <v>#DIV/0!</v>
      </c>
      <c r="N11" s="22" t="e">
        <f t="shared" si="6"/>
        <v>#DIV/0!</v>
      </c>
      <c r="P11" s="29"/>
    </row>
    <row r="12" spans="2:16" x14ac:dyDescent="0.35">
      <c r="B12" s="10" t="s">
        <v>18</v>
      </c>
      <c r="C12" s="8"/>
      <c r="D12" s="1"/>
      <c r="E12" s="1"/>
      <c r="F12" s="12"/>
      <c r="G12" s="14"/>
      <c r="H12" s="18" t="e">
        <f t="shared" si="0"/>
        <v>#DIV/0!</v>
      </c>
      <c r="I12" s="19" t="e">
        <f t="shared" si="1"/>
        <v>#DIV/0!</v>
      </c>
      <c r="J12" s="19" t="e">
        <f t="shared" si="2"/>
        <v>#DIV/0!</v>
      </c>
      <c r="K12" s="19" t="e">
        <f t="shared" si="3"/>
        <v>#DIV/0!</v>
      </c>
      <c r="L12" s="19" t="e">
        <f t="shared" si="4"/>
        <v>#DIV/0!</v>
      </c>
      <c r="M12" s="20" t="e">
        <f t="shared" si="5"/>
        <v>#DIV/0!</v>
      </c>
      <c r="N12" s="22" t="e">
        <f t="shared" si="6"/>
        <v>#DIV/0!</v>
      </c>
      <c r="P12" s="29"/>
    </row>
    <row r="13" spans="2:16" x14ac:dyDescent="0.35">
      <c r="B13" s="10" t="s">
        <v>19</v>
      </c>
      <c r="C13" s="8"/>
      <c r="D13" s="1"/>
      <c r="E13" s="1"/>
      <c r="F13" s="12"/>
      <c r="G13" s="14"/>
      <c r="H13" s="18" t="e">
        <f t="shared" si="0"/>
        <v>#DIV/0!</v>
      </c>
      <c r="I13" s="19" t="e">
        <f t="shared" si="1"/>
        <v>#DIV/0!</v>
      </c>
      <c r="J13" s="19" t="e">
        <f t="shared" si="2"/>
        <v>#DIV/0!</v>
      </c>
      <c r="K13" s="19" t="e">
        <f t="shared" si="3"/>
        <v>#DIV/0!</v>
      </c>
      <c r="L13" s="19" t="e">
        <f t="shared" si="4"/>
        <v>#DIV/0!</v>
      </c>
      <c r="M13" s="20" t="e">
        <f t="shared" si="5"/>
        <v>#DIV/0!</v>
      </c>
      <c r="N13" s="22" t="e">
        <f t="shared" si="6"/>
        <v>#DIV/0!</v>
      </c>
      <c r="P13" s="29"/>
    </row>
    <row r="14" spans="2:16" x14ac:dyDescent="0.35">
      <c r="B14" s="10" t="s">
        <v>20</v>
      </c>
      <c r="C14" s="8"/>
      <c r="D14" s="1"/>
      <c r="E14" s="1"/>
      <c r="F14" s="12"/>
      <c r="G14" s="14"/>
      <c r="H14" s="18" t="e">
        <f t="shared" si="0"/>
        <v>#DIV/0!</v>
      </c>
      <c r="I14" s="19" t="e">
        <f t="shared" si="1"/>
        <v>#DIV/0!</v>
      </c>
      <c r="J14" s="19" t="e">
        <f t="shared" si="2"/>
        <v>#DIV/0!</v>
      </c>
      <c r="K14" s="19" t="e">
        <f t="shared" si="3"/>
        <v>#DIV/0!</v>
      </c>
      <c r="L14" s="19" t="e">
        <f t="shared" si="4"/>
        <v>#DIV/0!</v>
      </c>
      <c r="M14" s="20" t="e">
        <f t="shared" si="5"/>
        <v>#DIV/0!</v>
      </c>
      <c r="N14" s="22" t="e">
        <f t="shared" si="6"/>
        <v>#DIV/0!</v>
      </c>
      <c r="P14" s="29"/>
    </row>
    <row r="15" spans="2:16" x14ac:dyDescent="0.35">
      <c r="B15" s="10" t="s">
        <v>21</v>
      </c>
      <c r="C15" s="8"/>
      <c r="D15" s="1"/>
      <c r="E15" s="1"/>
      <c r="F15" s="12"/>
      <c r="G15" s="14"/>
      <c r="H15" s="18" t="e">
        <f t="shared" si="0"/>
        <v>#DIV/0!</v>
      </c>
      <c r="I15" s="19" t="e">
        <f t="shared" si="1"/>
        <v>#DIV/0!</v>
      </c>
      <c r="J15" s="19" t="e">
        <f t="shared" si="2"/>
        <v>#DIV/0!</v>
      </c>
      <c r="K15" s="19" t="e">
        <f t="shared" si="3"/>
        <v>#DIV/0!</v>
      </c>
      <c r="L15" s="19" t="e">
        <f t="shared" si="4"/>
        <v>#DIV/0!</v>
      </c>
      <c r="M15" s="20" t="e">
        <f t="shared" si="5"/>
        <v>#DIV/0!</v>
      </c>
      <c r="N15" s="22" t="e">
        <f t="shared" si="6"/>
        <v>#DIV/0!</v>
      </c>
      <c r="P15" s="29"/>
    </row>
    <row r="16" spans="2:16" ht="15" thickBot="1" x14ac:dyDescent="0.4">
      <c r="B16" s="11" t="s">
        <v>22</v>
      </c>
      <c r="C16" s="9"/>
      <c r="D16" s="7"/>
      <c r="E16" s="7"/>
      <c r="F16" s="13"/>
      <c r="G16" s="15"/>
      <c r="H16" s="18" t="e">
        <f t="shared" si="0"/>
        <v>#DIV/0!</v>
      </c>
      <c r="I16" s="19" t="e">
        <f t="shared" si="1"/>
        <v>#DIV/0!</v>
      </c>
      <c r="J16" s="19" t="e">
        <f t="shared" si="2"/>
        <v>#DIV/0!</v>
      </c>
      <c r="K16" s="19" t="e">
        <f t="shared" si="3"/>
        <v>#DIV/0!</v>
      </c>
      <c r="L16" s="19" t="e">
        <f t="shared" si="4"/>
        <v>#DIV/0!</v>
      </c>
      <c r="M16" s="20" t="e">
        <f t="shared" si="5"/>
        <v>#DIV/0!</v>
      </c>
      <c r="N16" s="22" t="e">
        <f t="shared" si="6"/>
        <v>#DIV/0!</v>
      </c>
    </row>
    <row r="20" spans="2:8" x14ac:dyDescent="0.35">
      <c r="B20" s="2" t="s">
        <v>27</v>
      </c>
    </row>
    <row r="22" spans="2:8" x14ac:dyDescent="0.35">
      <c r="B22" s="3" t="s">
        <v>0</v>
      </c>
      <c r="C22" s="4" t="s">
        <v>5</v>
      </c>
      <c r="D22" s="6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2:8" x14ac:dyDescent="0.35">
      <c r="B23" s="3" t="s">
        <v>13</v>
      </c>
      <c r="C23" s="5">
        <f>G7</f>
        <v>0</v>
      </c>
      <c r="D23" s="6" t="e">
        <f>N7</f>
        <v>#DIV/0!</v>
      </c>
      <c r="E23" t="e">
        <f>D23/SQRT(C4)</f>
        <v>#DIV/0!</v>
      </c>
      <c r="F23" t="e">
        <f>1.965*E23</f>
        <v>#DIV/0!</v>
      </c>
      <c r="G23" t="e">
        <f>C23+F23</f>
        <v>#DIV/0!</v>
      </c>
      <c r="H23" t="e">
        <f>C23-F23</f>
        <v>#DIV/0!</v>
      </c>
    </row>
    <row r="24" spans="2:8" x14ac:dyDescent="0.35">
      <c r="B24" s="3" t="s">
        <v>14</v>
      </c>
      <c r="C24" s="5">
        <f>G8</f>
        <v>0</v>
      </c>
      <c r="D24" s="6" t="e">
        <f>N8</f>
        <v>#DIV/0!</v>
      </c>
      <c r="E24" t="e">
        <f>D24/SQRT(C4)</f>
        <v>#DIV/0!</v>
      </c>
      <c r="F24" t="e">
        <f t="shared" ref="F24:F32" si="7">1.965*E24</f>
        <v>#DIV/0!</v>
      </c>
      <c r="G24" t="e">
        <f t="shared" ref="G24:G32" si="8">C24+F24</f>
        <v>#DIV/0!</v>
      </c>
      <c r="H24" t="e">
        <f t="shared" ref="H24:H32" si="9">C24-F24</f>
        <v>#DIV/0!</v>
      </c>
    </row>
    <row r="25" spans="2:8" x14ac:dyDescent="0.35">
      <c r="B25" s="3" t="s">
        <v>15</v>
      </c>
      <c r="C25" s="5">
        <f t="shared" ref="C24:C32" si="10">G9</f>
        <v>0</v>
      </c>
      <c r="D25" s="6" t="e">
        <f t="shared" ref="D24:D32" si="11">N9</f>
        <v>#DIV/0!</v>
      </c>
      <c r="E25" t="e">
        <f>D25/SQRT(C4)</f>
        <v>#DIV/0!</v>
      </c>
      <c r="F25" t="e">
        <f t="shared" si="7"/>
        <v>#DIV/0!</v>
      </c>
      <c r="G25" t="e">
        <f t="shared" si="8"/>
        <v>#DIV/0!</v>
      </c>
      <c r="H25" t="e">
        <f t="shared" si="9"/>
        <v>#DIV/0!</v>
      </c>
    </row>
    <row r="26" spans="2:8" x14ac:dyDescent="0.35">
      <c r="B26" s="3" t="s">
        <v>16</v>
      </c>
      <c r="C26" s="5">
        <f t="shared" si="10"/>
        <v>0</v>
      </c>
      <c r="D26" s="6" t="e">
        <f t="shared" si="11"/>
        <v>#DIV/0!</v>
      </c>
      <c r="E26" t="e">
        <f>D26/SQRT(C4)</f>
        <v>#DIV/0!</v>
      </c>
      <c r="F26" t="e">
        <f t="shared" si="7"/>
        <v>#DIV/0!</v>
      </c>
      <c r="G26" t="e">
        <f t="shared" si="8"/>
        <v>#DIV/0!</v>
      </c>
      <c r="H26" t="e">
        <f t="shared" si="9"/>
        <v>#DIV/0!</v>
      </c>
    </row>
    <row r="27" spans="2:8" x14ac:dyDescent="0.35">
      <c r="B27" s="3" t="s">
        <v>17</v>
      </c>
      <c r="C27" s="5">
        <f t="shared" si="10"/>
        <v>0</v>
      </c>
      <c r="D27" s="6" t="e">
        <f t="shared" si="11"/>
        <v>#DIV/0!</v>
      </c>
      <c r="E27" t="e">
        <f>D27/SQRT(C4)</f>
        <v>#DIV/0!</v>
      </c>
      <c r="F27" t="e">
        <f t="shared" si="7"/>
        <v>#DIV/0!</v>
      </c>
      <c r="G27" t="e">
        <f t="shared" si="8"/>
        <v>#DIV/0!</v>
      </c>
      <c r="H27" t="e">
        <f t="shared" si="9"/>
        <v>#DIV/0!</v>
      </c>
    </row>
    <row r="28" spans="2:8" x14ac:dyDescent="0.35">
      <c r="B28" s="3" t="s">
        <v>18</v>
      </c>
      <c r="C28" s="5">
        <f t="shared" si="10"/>
        <v>0</v>
      </c>
      <c r="D28" s="6" t="e">
        <f t="shared" si="11"/>
        <v>#DIV/0!</v>
      </c>
      <c r="E28" t="e">
        <f>D28/SQRT(C4)</f>
        <v>#DIV/0!</v>
      </c>
      <c r="F28" t="e">
        <f t="shared" si="7"/>
        <v>#DIV/0!</v>
      </c>
      <c r="G28" t="e">
        <f t="shared" si="8"/>
        <v>#DIV/0!</v>
      </c>
      <c r="H28" t="e">
        <f t="shared" si="9"/>
        <v>#DIV/0!</v>
      </c>
    </row>
    <row r="29" spans="2:8" x14ac:dyDescent="0.35">
      <c r="B29" s="3" t="s">
        <v>19</v>
      </c>
      <c r="C29" s="5">
        <f t="shared" si="10"/>
        <v>0</v>
      </c>
      <c r="D29" s="6" t="e">
        <f t="shared" si="11"/>
        <v>#DIV/0!</v>
      </c>
      <c r="E29" t="e">
        <f>D29/SQRT(C4)</f>
        <v>#DIV/0!</v>
      </c>
      <c r="F29" t="e">
        <f t="shared" si="7"/>
        <v>#DIV/0!</v>
      </c>
      <c r="G29" t="e">
        <f t="shared" si="8"/>
        <v>#DIV/0!</v>
      </c>
      <c r="H29" t="e">
        <f t="shared" si="9"/>
        <v>#DIV/0!</v>
      </c>
    </row>
    <row r="30" spans="2:8" x14ac:dyDescent="0.35">
      <c r="B30" s="3" t="s">
        <v>20</v>
      </c>
      <c r="C30" s="5">
        <f t="shared" si="10"/>
        <v>0</v>
      </c>
      <c r="D30" s="6" t="e">
        <f t="shared" si="11"/>
        <v>#DIV/0!</v>
      </c>
      <c r="E30" t="e">
        <f>D30/SQRT(C4)</f>
        <v>#DIV/0!</v>
      </c>
      <c r="F30" t="e">
        <f t="shared" si="7"/>
        <v>#DIV/0!</v>
      </c>
      <c r="G30" t="e">
        <f t="shared" si="8"/>
        <v>#DIV/0!</v>
      </c>
      <c r="H30" t="e">
        <f t="shared" si="9"/>
        <v>#DIV/0!</v>
      </c>
    </row>
    <row r="31" spans="2:8" x14ac:dyDescent="0.35">
      <c r="B31" s="3" t="s">
        <v>21</v>
      </c>
      <c r="C31" s="5">
        <f t="shared" si="10"/>
        <v>0</v>
      </c>
      <c r="D31" s="6" t="e">
        <f t="shared" si="11"/>
        <v>#DIV/0!</v>
      </c>
      <c r="E31" t="e">
        <f>D31/SQRT(C4)</f>
        <v>#DIV/0!</v>
      </c>
      <c r="F31" t="e">
        <f t="shared" si="7"/>
        <v>#DIV/0!</v>
      </c>
      <c r="G31" t="e">
        <f t="shared" si="8"/>
        <v>#DIV/0!</v>
      </c>
      <c r="H31" t="e">
        <f t="shared" si="9"/>
        <v>#DIV/0!</v>
      </c>
    </row>
    <row r="32" spans="2:8" x14ac:dyDescent="0.35">
      <c r="B32" s="3" t="s">
        <v>22</v>
      </c>
      <c r="C32" s="5">
        <f t="shared" si="10"/>
        <v>0</v>
      </c>
      <c r="D32" s="6" t="e">
        <f t="shared" si="11"/>
        <v>#DIV/0!</v>
      </c>
      <c r="E32" t="e">
        <f>D32/SQRT(C4)</f>
        <v>#DIV/0!</v>
      </c>
      <c r="F32" t="e">
        <f t="shared" si="7"/>
        <v>#DIV/0!</v>
      </c>
      <c r="G32" t="e">
        <f t="shared" si="8"/>
        <v>#DIV/0!</v>
      </c>
      <c r="H32" t="e">
        <f t="shared" si="9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 Hussain</dc:creator>
  <cp:lastModifiedBy>Isa Hussain</cp:lastModifiedBy>
  <dcterms:created xsi:type="dcterms:W3CDTF">2025-12-16T09:07:24Z</dcterms:created>
  <dcterms:modified xsi:type="dcterms:W3CDTF">2025-12-16T09:28:17Z</dcterms:modified>
</cp:coreProperties>
</file>